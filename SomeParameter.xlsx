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wsl.localhost\Ubuntu\home\kingsley\filterscreen2\"/>
    </mc:Choice>
  </mc:AlternateContent>
  <xr:revisionPtr revIDLastSave="0" documentId="13_ncr:1_{C78A321A-CF8F-40E4-8149-041462C01779}" xr6:coauthVersionLast="47" xr6:coauthVersionMax="47" xr10:uidLastSave="{00000000-0000-0000-0000-000000000000}"/>
  <bookViews>
    <workbookView xWindow="6585" yWindow="1080" windowWidth="14070" windowHeight="1129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4" i="1"/>
  <c r="B6" i="1" s="1"/>
  <c r="B8" i="1" s="1"/>
  <c r="B10" i="1" s="1"/>
  <c r="B3" i="1"/>
  <c r="B9" i="1" l="1"/>
</calcChain>
</file>

<file path=xl/sharedStrings.xml><?xml version="1.0" encoding="utf-8"?>
<sst xmlns="http://schemas.openxmlformats.org/spreadsheetml/2006/main" count="10" uniqueCount="10">
  <si>
    <t>U</t>
    <phoneticPr fontId="1" type="noConversion"/>
  </si>
  <si>
    <t>d</t>
    <phoneticPr fontId="1" type="noConversion"/>
  </si>
  <si>
    <t>Re</t>
    <phoneticPr fontId="1" type="noConversion"/>
  </si>
  <si>
    <t>nu</t>
    <phoneticPr fontId="1" type="noConversion"/>
  </si>
  <si>
    <t>C_mu</t>
    <phoneticPr fontId="1" type="noConversion"/>
  </si>
  <si>
    <t>Initial turbulence intensity(I)</t>
    <phoneticPr fontId="1" type="noConversion"/>
  </si>
  <si>
    <t>Pipe Turbulent length scale(l)</t>
    <phoneticPr fontId="1" type="noConversion"/>
  </si>
  <si>
    <t>Turbulent kinetic energy(k)</t>
    <phoneticPr fontId="1" type="noConversion"/>
  </si>
  <si>
    <t>Turbulent dissipation(Epsilon)</t>
    <phoneticPr fontId="1" type="noConversion"/>
  </si>
  <si>
    <t>Turbulent dissipation(Omega)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</si>
</sst>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F9" sqref="F9"/>
    </sheetView>
  </sheetViews>
  <sheetFormatPr defaultRowHeight="15.75" x14ac:dyDescent="0.25"/>
  <cols>
    <col min="1" max="1" width="31.42578125" customWidth="1"/>
    <col min="2" max="2" width="10.7109375" bestFit="1" customWidth="1"/>
    <col min="5" max="5" width="10.710937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4.4999999999999998E-2</v>
      </c>
    </row>
    <row r="3" spans="1:2" x14ac:dyDescent="0.25">
      <c r="A3" t="s">
        <v>3</v>
      </c>
      <c r="B3">
        <f>0.0000148</f>
        <v>1.4800000000000001E-5</v>
      </c>
    </row>
    <row r="4" spans="1:2" x14ac:dyDescent="0.25">
      <c r="A4" t="s">
        <v>2</v>
      </c>
      <c r="B4">
        <f>(B1*B2)/B3</f>
        <v>152027.02702702701</v>
      </c>
    </row>
    <row r="5" spans="1:2" x14ac:dyDescent="0.25">
      <c r="A5" t="s">
        <v>4</v>
      </c>
      <c r="B5">
        <v>0.09</v>
      </c>
    </row>
    <row r="6" spans="1:2" x14ac:dyDescent="0.25">
      <c r="A6" s="1" t="s">
        <v>5</v>
      </c>
      <c r="B6">
        <f>0.16*(B4)^(-1/8)</f>
        <v>3.6006414965134986E-2</v>
      </c>
    </row>
    <row r="7" spans="1:2" x14ac:dyDescent="0.25">
      <c r="A7" s="1" t="s">
        <v>6</v>
      </c>
      <c r="B7">
        <f>0.07*B2</f>
        <v>3.15E-3</v>
      </c>
    </row>
    <row r="8" spans="1:2" x14ac:dyDescent="0.25">
      <c r="A8" t="s">
        <v>7</v>
      </c>
      <c r="B8">
        <f>(3/2)*(B1*B6)^2</f>
        <v>4.8617321949056134</v>
      </c>
    </row>
    <row r="9" spans="1:2" x14ac:dyDescent="0.25">
      <c r="A9" t="s">
        <v>8</v>
      </c>
      <c r="B9">
        <f>B5*((B8)^(1.5)/B7)</f>
        <v>306.27990533517755</v>
      </c>
    </row>
    <row r="10" spans="1:2" x14ac:dyDescent="0.25">
      <c r="A10" t="s">
        <v>9</v>
      </c>
      <c r="B10">
        <f>(B8)^0.5/B7</f>
        <v>699.97892167851489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KingsleyCHHsu(徐昶亘)</dc:creator>
  <cp:lastModifiedBy>KingsleyCHHsu(徐昶亘)</cp:lastModifiedBy>
  <dcterms:created xsi:type="dcterms:W3CDTF">2015-06-05T18:19:34Z</dcterms:created>
  <dcterms:modified xsi:type="dcterms:W3CDTF">2025-02-07T03:09:57Z</dcterms:modified>
</cp:coreProperties>
</file>